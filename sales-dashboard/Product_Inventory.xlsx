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938\Desktop\"/>
    </mc:Choice>
  </mc:AlternateContent>
  <xr:revisionPtr revIDLastSave="0" documentId="13_ncr:1_{BA9FC7E5-2AF2-43A5-A314-23D420585D6A}" xr6:coauthVersionLast="47" xr6:coauthVersionMax="47" xr10:uidLastSave="{00000000-0000-0000-0000-000000000000}"/>
  <bookViews>
    <workbookView xWindow="-110" yWindow="-110" windowWidth="19420" windowHeight="10300" activeTab="1" xr2:uid="{F39FA98B-4743-4CF8-8D2D-728A6286DDCD}"/>
  </bookViews>
  <sheets>
    <sheet name="Sheet1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11" i="2"/>
  <c r="B12" i="2"/>
  <c r="C12" i="2"/>
  <c r="B13" i="2"/>
  <c r="B14" i="2"/>
  <c r="B15" i="2"/>
  <c r="B16" i="2"/>
  <c r="B17" i="2"/>
  <c r="B18" i="2"/>
  <c r="B19" i="2"/>
  <c r="B20" i="2"/>
  <c r="B21" i="2"/>
  <c r="B3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F2" i="1"/>
  <c r="B5" i="2" s="1"/>
  <c r="F3" i="1"/>
  <c r="C13" i="2" s="1"/>
  <c r="F4" i="1"/>
  <c r="C19" i="2" s="1"/>
  <c r="F5" i="1"/>
  <c r="C18" i="2" s="1"/>
  <c r="F6" i="1"/>
  <c r="F7" i="1"/>
  <c r="C17" i="2" s="1"/>
  <c r="F8" i="1"/>
  <c r="C14" i="2" s="1"/>
  <c r="F9" i="1"/>
  <c r="C11" i="2" s="1"/>
  <c r="F10" i="1"/>
  <c r="C15" i="2" s="1"/>
  <c r="F11" i="1"/>
  <c r="F12" i="1"/>
  <c r="F13" i="1"/>
  <c r="F14" i="1"/>
  <c r="C20" i="2" s="1"/>
  <c r="F15" i="1"/>
  <c r="F16" i="1"/>
  <c r="F17" i="1"/>
  <c r="C16" i="2" s="1"/>
  <c r="F18" i="1"/>
  <c r="F19" i="1"/>
  <c r="F20" i="1"/>
  <c r="F21" i="1"/>
  <c r="F22" i="1"/>
  <c r="F23" i="1"/>
  <c r="F24" i="1"/>
  <c r="F25" i="1"/>
  <c r="F26" i="1"/>
  <c r="F27" i="1"/>
  <c r="F28" i="1"/>
  <c r="F29" i="1"/>
  <c r="C21" i="2" s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C10" i="2" l="1"/>
  <c r="B23" i="2" s="1"/>
  <c r="B24" i="2" l="1"/>
</calcChain>
</file>

<file path=xl/sharedStrings.xml><?xml version="1.0" encoding="utf-8"?>
<sst xmlns="http://schemas.openxmlformats.org/spreadsheetml/2006/main" count="268" uniqueCount="141">
  <si>
    <t>Products IT</t>
  </si>
  <si>
    <t>Product Name</t>
  </si>
  <si>
    <t>Category</t>
  </si>
  <si>
    <t>Price</t>
  </si>
  <si>
    <t>Quantity</t>
  </si>
  <si>
    <t>Portable Air Conditioner</t>
  </si>
  <si>
    <t>Accounting</t>
  </si>
  <si>
    <t>Banana Peanut Butter Smoothie</t>
  </si>
  <si>
    <t>Marketing</t>
  </si>
  <si>
    <t>Rechargeable Electric Toothbrush</t>
  </si>
  <si>
    <t>Sales</t>
  </si>
  <si>
    <t>Mini Air Hockey Table</t>
  </si>
  <si>
    <t>Business Development</t>
  </si>
  <si>
    <t>Leather Wallet</t>
  </si>
  <si>
    <t>Support</t>
  </si>
  <si>
    <t>Patterned Knit Scarf</t>
  </si>
  <si>
    <t>Services</t>
  </si>
  <si>
    <t>Car Diagnostic Scanner</t>
  </si>
  <si>
    <t>Engineering</t>
  </si>
  <si>
    <t>Spicy Chicken Wings</t>
  </si>
  <si>
    <t>Legal</t>
  </si>
  <si>
    <t>Teriyaki Beef Jerky</t>
  </si>
  <si>
    <t>Research and Development</t>
  </si>
  <si>
    <t>Car Windshield Sun Shade</t>
  </si>
  <si>
    <t>Over-the-Door Shoe Organizer</t>
  </si>
  <si>
    <t>Handcrafted Wooden Jewelry Box</t>
  </si>
  <si>
    <t>Ice Cream Maker</t>
  </si>
  <si>
    <t>Human Resources</t>
  </si>
  <si>
    <t>Noise-Canceling Headphones</t>
  </si>
  <si>
    <t>Collapsible Storage Crates</t>
  </si>
  <si>
    <t>Electric Stool Heater</t>
  </si>
  <si>
    <t>Product Management</t>
  </si>
  <si>
    <t>Frozen Chicken Nuggets</t>
  </si>
  <si>
    <t>Self-Watering Planter</t>
  </si>
  <si>
    <t>Canvas Wall Art</t>
  </si>
  <si>
    <t>Gardening Kneeler and Seat</t>
  </si>
  <si>
    <t>Cinnamon Sugar Mix</t>
  </si>
  <si>
    <t>Mixed Nuts</t>
  </si>
  <si>
    <t>Portable Solar Camp Shower</t>
  </si>
  <si>
    <t>Digital Voice Recorder</t>
  </si>
  <si>
    <t>Pet Grooming Gloves</t>
  </si>
  <si>
    <t>Kids' Science Experiment Kit</t>
  </si>
  <si>
    <t>Faux Fur Coat</t>
  </si>
  <si>
    <t>Training</t>
  </si>
  <si>
    <t>Pumpkin Ice Cream</t>
  </si>
  <si>
    <t>Kids' Gardening Tools Set</t>
  </si>
  <si>
    <t>Wireless Mouse</t>
  </si>
  <si>
    <t>Linen Trousers</t>
  </si>
  <si>
    <t>Self-Watering Planters</t>
  </si>
  <si>
    <t>Sesame Noodles</t>
  </si>
  <si>
    <t>Cacao Nibs</t>
  </si>
  <si>
    <t>Silicone Wine Glasses</t>
  </si>
  <si>
    <t>Lemon Garlic Marinade</t>
  </si>
  <si>
    <t>Portable Speaker Stand</t>
  </si>
  <si>
    <t>Rustic Wooden Picture Frame</t>
  </si>
  <si>
    <t>Tortilla Chips</t>
  </si>
  <si>
    <t>Organic Tomato Ketchup</t>
  </si>
  <si>
    <t>Garlic Butter Sauce</t>
  </si>
  <si>
    <t>Radish Chips</t>
  </si>
  <si>
    <t>Mesh Sports Leggings</t>
  </si>
  <si>
    <t>Mayonnaise</t>
  </si>
  <si>
    <t>Photo Album</t>
  </si>
  <si>
    <t>Travel Jewelry Case</t>
  </si>
  <si>
    <t>Frozen Acai PurÃ©e</t>
  </si>
  <si>
    <t>BBQ Lentil Chips</t>
  </si>
  <si>
    <t>Smart Light Bulbs</t>
  </si>
  <si>
    <t>Stylish Combat Boots</t>
  </si>
  <si>
    <t>Teriyaki Tofu Stir-Fry</t>
  </si>
  <si>
    <t>Whole Grain Cereal</t>
  </si>
  <si>
    <t>Pet Hair Vacuum Attachment</t>
  </si>
  <si>
    <t>Buffalo Cauliflower Wings</t>
  </si>
  <si>
    <t>Silicone Stretch Lids</t>
  </si>
  <si>
    <t>Pet Hair Removal Roller</t>
  </si>
  <si>
    <t>Electric Food Steamer</t>
  </si>
  <si>
    <t>Elderberry Syrup Kit</t>
  </si>
  <si>
    <t>Zesty Garlic Hummus</t>
  </si>
  <si>
    <t>Leather Biker Jacket</t>
  </si>
  <si>
    <t>Kitchen Knife Sharpening System</t>
  </si>
  <si>
    <t>Children's Educational Workbook</t>
  </si>
  <si>
    <t>Crispy Rice Treats</t>
  </si>
  <si>
    <t>Digital Photo Frame</t>
  </si>
  <si>
    <t>Sparkling Blood Orange Soda</t>
  </si>
  <si>
    <t>Oven-Baked Chicken Tenders</t>
  </si>
  <si>
    <t>Granola</t>
  </si>
  <si>
    <t>Toasted Coconut Granola</t>
  </si>
  <si>
    <t>Sliced Olives</t>
  </si>
  <si>
    <t>Mini Indoor Hydroponic Garden</t>
  </si>
  <si>
    <t>Puffer Winter Coat</t>
  </si>
  <si>
    <t>Interchangeable Watch Bands</t>
  </si>
  <si>
    <t>Chocolate Covered Pretzels</t>
  </si>
  <si>
    <t>Magnetic Screen Door</t>
  </si>
  <si>
    <t>Chocolate Chip Energy Balls</t>
  </si>
  <si>
    <t>Smartphone Gimbal</t>
  </si>
  <si>
    <t>Cinnamon Roll Kit</t>
  </si>
  <si>
    <t>Pet Bed with Removable Cover</t>
  </si>
  <si>
    <t>Kale &amp; Quinoa Salad Mix</t>
  </si>
  <si>
    <t>Sushi Roll Kit</t>
  </si>
  <si>
    <t>Ginger Tea</t>
  </si>
  <si>
    <t>Chocolate Peanut Butter Cups</t>
  </si>
  <si>
    <t>Mediterranean Chickpea Salad</t>
  </si>
  <si>
    <t>Honey Almond Granola Bars</t>
  </si>
  <si>
    <t>Coffee Maker</t>
  </si>
  <si>
    <t>Kids' Building Blocks</t>
  </si>
  <si>
    <t>Smartphone Holder for Car</t>
  </si>
  <si>
    <t>Granola Clusters</t>
  </si>
  <si>
    <t>Water Bottle</t>
  </si>
  <si>
    <t>Pet Water Fountain</t>
  </si>
  <si>
    <t>Banana Chips</t>
  </si>
  <si>
    <t>Fire Roasted Salsa</t>
  </si>
  <si>
    <t>Curried Lentil Salad</t>
  </si>
  <si>
    <t>Set of Gardening Gloves with Claws</t>
  </si>
  <si>
    <t>Vegetable Stir-Fry Kit</t>
  </si>
  <si>
    <t>Instant Read Meat Thermometer</t>
  </si>
  <si>
    <t>Electric Blanket</t>
  </si>
  <si>
    <t>Chocolate Mint Protein Shake</t>
  </si>
  <si>
    <t>Wireless Range Extender</t>
  </si>
  <si>
    <t>Blueberry Oatmeal Cups</t>
  </si>
  <si>
    <t>Car Emergency Kit</t>
  </si>
  <si>
    <t>Caramel Apple Chips</t>
  </si>
  <si>
    <t>Teriyaki Chicken Bowl</t>
  </si>
  <si>
    <t>Terry Cloth Robe</t>
  </si>
  <si>
    <t>Samsung Galaxy Smartwatch</t>
  </si>
  <si>
    <t>Sliced Provolone Cheese</t>
  </si>
  <si>
    <t>Pear and Gorgonzola Salad</t>
  </si>
  <si>
    <t>Party Mini Dress</t>
  </si>
  <si>
    <t>Portable Phone Charger</t>
  </si>
  <si>
    <t>Folding Pocket Knife</t>
  </si>
  <si>
    <t>Self-Stirring Mug</t>
  </si>
  <si>
    <t>Ceramic Non-Stick Frying Pan</t>
  </si>
  <si>
    <t>Classic Pumps</t>
  </si>
  <si>
    <t>Kids' Dinosaur-Themed Lunchbox</t>
  </si>
  <si>
    <t>Outdoor Picnic Blanket</t>
  </si>
  <si>
    <t>Total Value</t>
  </si>
  <si>
    <t>In Stock?</t>
  </si>
  <si>
    <t>Inventory Summary</t>
  </si>
  <si>
    <t>Total Products</t>
  </si>
  <si>
    <t>Total inventory value</t>
  </si>
  <si>
    <t>Products per category</t>
  </si>
  <si>
    <t>Count</t>
  </si>
  <si>
    <t>Top Category</t>
  </si>
  <si>
    <t>Highest Inventory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</si>
</sst>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8" fillId="0" borderId="0" xfId="0" applyFont="1"/>
    <xf numFmtId="0" fontId="16" fillId="0" borderId="12" xfId="0" applyFont="1" applyBorder="1"/>
    <xf numFmtId="0" fontId="16" fillId="0" borderId="13" xfId="0" applyFont="1" applyBorder="1"/>
    <xf numFmtId="0" fontId="0" fillId="0" borderId="11" xfId="0" applyBorder="1"/>
    <xf numFmtId="0" fontId="0" fillId="33" borderId="15" xfId="0" applyFill="1" applyBorder="1"/>
    <xf numFmtId="0" fontId="16" fillId="0" borderId="14" xfId="0" applyFont="1" applyBorder="1"/>
    <xf numFmtId="0" fontId="0" fillId="0" borderId="14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indexed="64"/>
        </bottom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BFB4B-F0F7-4D20-AC08-3150AA4308B6}" name="Table1" displayName="Table1" ref="A1:G121" totalsRowShown="0">
  <autoFilter ref="A1:G121" xr:uid="{B1EBFB4B-F0F7-4D20-AC08-3150AA4308B6}"/>
  <tableColumns count="7">
    <tableColumn id="1" xr3:uid="{8F6EAE9C-FAD3-4069-9B1F-E5D9F3F1AA91}" name="Products IT"/>
    <tableColumn id="2" xr3:uid="{DD31E066-D297-4E77-8596-12CD9B1C2B16}" name="Product Name"/>
    <tableColumn id="3" xr3:uid="{ED0A887B-4463-4A7E-BB8F-089E0074C9BD}" name="Category"/>
    <tableColumn id="4" xr3:uid="{E8288098-6169-47A5-9784-D02647881E76}" name="Price"/>
    <tableColumn id="5" xr3:uid="{62A44392-AC2B-44E1-BD62-38D8877024B5}" name="Quantity"/>
    <tableColumn id="6" xr3:uid="{D64F58F4-448C-472A-AF9C-6E90CDD0F737}" name="Total Value" dataDxfId="3">
      <calculatedColumnFormula>D2*E2</calculatedColumnFormula>
    </tableColumn>
    <tableColumn id="7" xr3:uid="{248C2EA2-4EE0-4C4E-92E5-DABA78BF3A2D}" name="In Stock?" dataDxfId="2">
      <calculatedColumnFormula>IF(E2&gt;0,"YES","NO")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B7F832-0136-445B-9EA6-BB0DF1AF03A3}" name="Table3" displayName="Table3" ref="A9:C21" totalsRowShown="0" headerRowBorderDxfId="1">
  <autoFilter ref="A9:C21" xr:uid="{EFB7F832-0136-445B-9EA6-BB0DF1AF03A3}"/>
  <tableColumns count="3">
    <tableColumn id="1" xr3:uid="{A9F52E5A-5F62-4C91-8B8C-94A0FF3105E9}" name="Category" dataDxfId="0"/>
    <tableColumn id="2" xr3:uid="{D548A090-AC40-432F-8428-6B8710638282}" name="Count">
      <calculatedColumnFormula>COUNTIF(Sheet1!C:C,A10)</calculatedColumnFormula>
    </tableColumn>
    <tableColumn id="3" xr3:uid="{2E12178B-4428-45F8-8201-F85A0081D752}" name="Total Value">
      <calculatedColumnFormula>SUMIF(Sheet1!C:C,A10,Sheet1!F:F)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48C9-1414-4553-8E99-806A479E3DB6}">
  <dimension ref="A1:G121"/>
  <sheetViews>
    <sheetView workbookViewId="0">
      <pane ySplit="1" topLeftCell="A104" activePane="bottomLeft" state="frozen"/>
      <selection pane="bottomLeft" activeCell="C2" sqref="C2:C121"/>
    </sheetView>
  </sheetViews>
  <sheetFormatPr defaultRowHeight="14.5" x14ac:dyDescent="0.35"/>
  <cols>
    <col min="1" max="3" width="23.36328125" customWidth="1"/>
    <col min="4" max="4" width="7.36328125" bestFit="1" customWidth="1"/>
    <col min="5" max="5" width="10.26953125" bestFit="1" customWidth="1"/>
    <col min="6" max="6" width="12.26953125" bestFit="1" customWidth="1"/>
    <col min="7" max="7" width="10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132</v>
      </c>
      <c r="G1" t="s">
        <v>133</v>
      </c>
    </row>
    <row r="2" spans="1:7" x14ac:dyDescent="0.35">
      <c r="A2">
        <v>1</v>
      </c>
      <c r="B2" t="s">
        <v>5</v>
      </c>
      <c r="C2" t="s">
        <v>6</v>
      </c>
      <c r="D2">
        <v>348</v>
      </c>
      <c r="E2">
        <v>12</v>
      </c>
      <c r="F2">
        <f t="shared" ref="F2:F33" si="0">D2*E2</f>
        <v>4176</v>
      </c>
      <c r="G2" t="str">
        <f t="shared" ref="G2:G33" si="1">IF(E2&gt;0,"YES","NO")</f>
        <v>YES</v>
      </c>
    </row>
    <row r="3" spans="1:7" x14ac:dyDescent="0.35">
      <c r="A3">
        <v>2</v>
      </c>
      <c r="B3" t="s">
        <v>7</v>
      </c>
      <c r="C3" t="s">
        <v>8</v>
      </c>
      <c r="D3">
        <v>427</v>
      </c>
      <c r="E3">
        <v>98</v>
      </c>
      <c r="F3">
        <f t="shared" si="0"/>
        <v>41846</v>
      </c>
      <c r="G3" t="str">
        <f t="shared" si="1"/>
        <v>YES</v>
      </c>
    </row>
    <row r="4" spans="1:7" x14ac:dyDescent="0.35">
      <c r="A4">
        <v>3</v>
      </c>
      <c r="B4" t="s">
        <v>9</v>
      </c>
      <c r="C4" t="s">
        <v>10</v>
      </c>
      <c r="D4">
        <v>191</v>
      </c>
      <c r="E4">
        <v>52</v>
      </c>
      <c r="F4">
        <f t="shared" si="0"/>
        <v>9932</v>
      </c>
      <c r="G4" t="str">
        <f t="shared" si="1"/>
        <v>YES</v>
      </c>
    </row>
    <row r="5" spans="1:7" x14ac:dyDescent="0.35">
      <c r="A5">
        <v>4</v>
      </c>
      <c r="B5" t="s">
        <v>11</v>
      </c>
      <c r="C5" t="s">
        <v>12</v>
      </c>
      <c r="D5">
        <v>141</v>
      </c>
      <c r="E5">
        <v>14</v>
      </c>
      <c r="F5">
        <f t="shared" si="0"/>
        <v>1974</v>
      </c>
      <c r="G5" t="str">
        <f t="shared" si="1"/>
        <v>YES</v>
      </c>
    </row>
    <row r="6" spans="1:7" x14ac:dyDescent="0.35">
      <c r="A6">
        <v>5</v>
      </c>
      <c r="B6" t="s">
        <v>13</v>
      </c>
      <c r="C6" t="s">
        <v>14</v>
      </c>
      <c r="D6">
        <v>499</v>
      </c>
      <c r="E6">
        <v>70</v>
      </c>
      <c r="F6">
        <f t="shared" si="0"/>
        <v>34930</v>
      </c>
      <c r="G6" t="str">
        <f t="shared" si="1"/>
        <v>YES</v>
      </c>
    </row>
    <row r="7" spans="1:7" x14ac:dyDescent="0.35">
      <c r="A7">
        <v>6</v>
      </c>
      <c r="B7" t="s">
        <v>15</v>
      </c>
      <c r="C7" t="s">
        <v>16</v>
      </c>
      <c r="D7">
        <v>328</v>
      </c>
      <c r="E7">
        <v>96</v>
      </c>
      <c r="F7">
        <f t="shared" si="0"/>
        <v>31488</v>
      </c>
      <c r="G7" t="str">
        <f t="shared" si="1"/>
        <v>YES</v>
      </c>
    </row>
    <row r="8" spans="1:7" x14ac:dyDescent="0.35">
      <c r="A8">
        <v>7</v>
      </c>
      <c r="B8" t="s">
        <v>17</v>
      </c>
      <c r="C8" t="s">
        <v>18</v>
      </c>
      <c r="D8">
        <v>111</v>
      </c>
      <c r="E8">
        <v>16</v>
      </c>
      <c r="F8">
        <f t="shared" si="0"/>
        <v>1776</v>
      </c>
      <c r="G8" t="str">
        <f t="shared" si="1"/>
        <v>YES</v>
      </c>
    </row>
    <row r="9" spans="1:7" x14ac:dyDescent="0.35">
      <c r="A9">
        <v>8</v>
      </c>
      <c r="B9" t="s">
        <v>19</v>
      </c>
      <c r="C9" t="s">
        <v>20</v>
      </c>
      <c r="D9">
        <v>313</v>
      </c>
      <c r="E9">
        <v>91</v>
      </c>
      <c r="F9">
        <f t="shared" si="0"/>
        <v>28483</v>
      </c>
      <c r="G9" t="str">
        <f t="shared" si="1"/>
        <v>YES</v>
      </c>
    </row>
    <row r="10" spans="1:7" x14ac:dyDescent="0.35">
      <c r="A10">
        <v>9</v>
      </c>
      <c r="B10" t="s">
        <v>21</v>
      </c>
      <c r="C10" t="s">
        <v>22</v>
      </c>
      <c r="D10">
        <v>361</v>
      </c>
      <c r="E10">
        <v>89</v>
      </c>
      <c r="F10">
        <f t="shared" si="0"/>
        <v>32129</v>
      </c>
      <c r="G10" t="str">
        <f t="shared" si="1"/>
        <v>YES</v>
      </c>
    </row>
    <row r="11" spans="1:7" x14ac:dyDescent="0.35">
      <c r="A11">
        <v>10</v>
      </c>
      <c r="B11" t="s">
        <v>23</v>
      </c>
      <c r="C11" t="s">
        <v>18</v>
      </c>
      <c r="D11">
        <v>414</v>
      </c>
      <c r="E11">
        <v>51</v>
      </c>
      <c r="F11">
        <f t="shared" si="0"/>
        <v>21114</v>
      </c>
      <c r="G11" t="str">
        <f t="shared" si="1"/>
        <v>YES</v>
      </c>
    </row>
    <row r="12" spans="1:7" x14ac:dyDescent="0.35">
      <c r="A12">
        <v>11</v>
      </c>
      <c r="B12" t="s">
        <v>24</v>
      </c>
      <c r="C12" t="s">
        <v>22</v>
      </c>
      <c r="D12">
        <v>422</v>
      </c>
      <c r="E12">
        <v>11</v>
      </c>
      <c r="F12">
        <f t="shared" si="0"/>
        <v>4642</v>
      </c>
      <c r="G12" t="str">
        <f t="shared" si="1"/>
        <v>YES</v>
      </c>
    </row>
    <row r="13" spans="1:7" x14ac:dyDescent="0.35">
      <c r="A13">
        <v>12</v>
      </c>
      <c r="B13" t="s">
        <v>25</v>
      </c>
      <c r="C13" t="s">
        <v>14</v>
      </c>
      <c r="D13">
        <v>177</v>
      </c>
      <c r="E13">
        <v>39</v>
      </c>
      <c r="F13">
        <f t="shared" si="0"/>
        <v>6903</v>
      </c>
      <c r="G13" t="str">
        <f t="shared" si="1"/>
        <v>YES</v>
      </c>
    </row>
    <row r="14" spans="1:7" x14ac:dyDescent="0.35">
      <c r="A14">
        <v>13</v>
      </c>
      <c r="B14" t="s">
        <v>26</v>
      </c>
      <c r="C14" t="s">
        <v>27</v>
      </c>
      <c r="D14">
        <v>286</v>
      </c>
      <c r="E14">
        <v>100</v>
      </c>
      <c r="F14">
        <f t="shared" si="0"/>
        <v>28600</v>
      </c>
      <c r="G14" t="str">
        <f t="shared" si="1"/>
        <v>YES</v>
      </c>
    </row>
    <row r="15" spans="1:7" x14ac:dyDescent="0.35">
      <c r="A15">
        <v>14</v>
      </c>
      <c r="B15" t="s">
        <v>28</v>
      </c>
      <c r="C15" t="s">
        <v>8</v>
      </c>
      <c r="D15">
        <v>176</v>
      </c>
      <c r="E15">
        <v>74</v>
      </c>
      <c r="F15">
        <f t="shared" si="0"/>
        <v>13024</v>
      </c>
      <c r="G15" t="str">
        <f t="shared" si="1"/>
        <v>YES</v>
      </c>
    </row>
    <row r="16" spans="1:7" x14ac:dyDescent="0.35">
      <c r="A16">
        <v>15</v>
      </c>
      <c r="B16" t="s">
        <v>29</v>
      </c>
      <c r="C16" t="s">
        <v>10</v>
      </c>
      <c r="D16">
        <v>206</v>
      </c>
      <c r="E16">
        <v>90</v>
      </c>
      <c r="F16">
        <f t="shared" si="0"/>
        <v>18540</v>
      </c>
      <c r="G16" t="str">
        <f t="shared" si="1"/>
        <v>YES</v>
      </c>
    </row>
    <row r="17" spans="1:7" x14ac:dyDescent="0.35">
      <c r="A17">
        <v>16</v>
      </c>
      <c r="B17" t="s">
        <v>30</v>
      </c>
      <c r="C17" t="s">
        <v>31</v>
      </c>
      <c r="D17">
        <v>224</v>
      </c>
      <c r="E17">
        <v>11</v>
      </c>
      <c r="F17">
        <f t="shared" si="0"/>
        <v>2464</v>
      </c>
      <c r="G17" t="str">
        <f t="shared" si="1"/>
        <v>YES</v>
      </c>
    </row>
    <row r="18" spans="1:7" x14ac:dyDescent="0.35">
      <c r="A18">
        <v>17</v>
      </c>
      <c r="B18" t="s">
        <v>32</v>
      </c>
      <c r="C18" t="s">
        <v>10</v>
      </c>
      <c r="D18">
        <v>268</v>
      </c>
      <c r="E18">
        <v>66</v>
      </c>
      <c r="F18">
        <f t="shared" si="0"/>
        <v>17688</v>
      </c>
      <c r="G18" t="str">
        <f t="shared" si="1"/>
        <v>YES</v>
      </c>
    </row>
    <row r="19" spans="1:7" x14ac:dyDescent="0.35">
      <c r="A19">
        <v>18</v>
      </c>
      <c r="B19" t="s">
        <v>33</v>
      </c>
      <c r="C19" t="s">
        <v>12</v>
      </c>
      <c r="D19">
        <v>182</v>
      </c>
      <c r="E19">
        <v>30</v>
      </c>
      <c r="F19">
        <f t="shared" si="0"/>
        <v>5460</v>
      </c>
      <c r="G19" t="str">
        <f t="shared" si="1"/>
        <v>YES</v>
      </c>
    </row>
    <row r="20" spans="1:7" x14ac:dyDescent="0.35">
      <c r="A20">
        <v>19</v>
      </c>
      <c r="B20" t="s">
        <v>25</v>
      </c>
      <c r="C20" t="s">
        <v>22</v>
      </c>
      <c r="D20">
        <v>435</v>
      </c>
      <c r="E20">
        <v>23</v>
      </c>
      <c r="F20">
        <f t="shared" si="0"/>
        <v>10005</v>
      </c>
      <c r="G20" t="str">
        <f t="shared" si="1"/>
        <v>YES</v>
      </c>
    </row>
    <row r="21" spans="1:7" x14ac:dyDescent="0.35">
      <c r="A21">
        <v>20</v>
      </c>
      <c r="B21" t="s">
        <v>34</v>
      </c>
      <c r="C21" t="s">
        <v>22</v>
      </c>
      <c r="D21">
        <v>215</v>
      </c>
      <c r="E21">
        <v>99</v>
      </c>
      <c r="F21">
        <f t="shared" si="0"/>
        <v>21285</v>
      </c>
      <c r="G21" t="str">
        <f t="shared" si="1"/>
        <v>YES</v>
      </c>
    </row>
    <row r="22" spans="1:7" x14ac:dyDescent="0.35">
      <c r="A22">
        <v>21</v>
      </c>
      <c r="B22" t="s">
        <v>35</v>
      </c>
      <c r="C22" t="s">
        <v>16</v>
      </c>
      <c r="D22">
        <v>190</v>
      </c>
      <c r="E22">
        <v>55</v>
      </c>
      <c r="F22">
        <f t="shared" si="0"/>
        <v>10450</v>
      </c>
      <c r="G22" t="str">
        <f t="shared" si="1"/>
        <v>YES</v>
      </c>
    </row>
    <row r="23" spans="1:7" x14ac:dyDescent="0.35">
      <c r="A23">
        <v>22</v>
      </c>
      <c r="B23" t="s">
        <v>36</v>
      </c>
      <c r="C23" t="s">
        <v>20</v>
      </c>
      <c r="D23">
        <v>461</v>
      </c>
      <c r="E23">
        <v>64</v>
      </c>
      <c r="F23">
        <f t="shared" si="0"/>
        <v>29504</v>
      </c>
      <c r="G23" t="str">
        <f t="shared" si="1"/>
        <v>YES</v>
      </c>
    </row>
    <row r="24" spans="1:7" x14ac:dyDescent="0.35">
      <c r="A24">
        <v>23</v>
      </c>
      <c r="B24" t="s">
        <v>37</v>
      </c>
      <c r="C24" t="s">
        <v>14</v>
      </c>
      <c r="D24">
        <v>382</v>
      </c>
      <c r="E24">
        <v>40</v>
      </c>
      <c r="F24">
        <f t="shared" si="0"/>
        <v>15280</v>
      </c>
      <c r="G24" t="str">
        <f t="shared" si="1"/>
        <v>YES</v>
      </c>
    </row>
    <row r="25" spans="1:7" x14ac:dyDescent="0.35">
      <c r="A25">
        <v>24</v>
      </c>
      <c r="B25" t="s">
        <v>38</v>
      </c>
      <c r="C25" t="s">
        <v>14</v>
      </c>
      <c r="D25">
        <v>414</v>
      </c>
      <c r="E25">
        <v>81</v>
      </c>
      <c r="F25">
        <f t="shared" si="0"/>
        <v>33534</v>
      </c>
      <c r="G25" t="str">
        <f t="shared" si="1"/>
        <v>YES</v>
      </c>
    </row>
    <row r="26" spans="1:7" x14ac:dyDescent="0.35">
      <c r="A26">
        <v>25</v>
      </c>
      <c r="B26" t="s">
        <v>39</v>
      </c>
      <c r="C26" t="s">
        <v>31</v>
      </c>
      <c r="D26">
        <v>265</v>
      </c>
      <c r="E26">
        <v>67</v>
      </c>
      <c r="F26">
        <f t="shared" si="0"/>
        <v>17755</v>
      </c>
      <c r="G26" t="str">
        <f t="shared" si="1"/>
        <v>YES</v>
      </c>
    </row>
    <row r="27" spans="1:7" x14ac:dyDescent="0.35">
      <c r="A27">
        <v>26</v>
      </c>
      <c r="B27" t="s">
        <v>40</v>
      </c>
      <c r="C27" t="s">
        <v>6</v>
      </c>
      <c r="D27">
        <v>310</v>
      </c>
      <c r="E27">
        <v>4</v>
      </c>
      <c r="F27">
        <f t="shared" si="0"/>
        <v>1240</v>
      </c>
      <c r="G27" t="str">
        <f t="shared" si="1"/>
        <v>YES</v>
      </c>
    </row>
    <row r="28" spans="1:7" x14ac:dyDescent="0.35">
      <c r="A28">
        <v>27</v>
      </c>
      <c r="B28" t="s">
        <v>41</v>
      </c>
      <c r="C28" t="s">
        <v>6</v>
      </c>
      <c r="D28">
        <v>176</v>
      </c>
      <c r="E28">
        <v>5</v>
      </c>
      <c r="F28">
        <f t="shared" si="0"/>
        <v>880</v>
      </c>
      <c r="G28" t="str">
        <f t="shared" si="1"/>
        <v>YES</v>
      </c>
    </row>
    <row r="29" spans="1:7" x14ac:dyDescent="0.35">
      <c r="A29">
        <v>28</v>
      </c>
      <c r="B29" t="s">
        <v>42</v>
      </c>
      <c r="C29" t="s">
        <v>43</v>
      </c>
      <c r="D29">
        <v>47</v>
      </c>
      <c r="E29">
        <v>61</v>
      </c>
      <c r="F29">
        <f t="shared" si="0"/>
        <v>2867</v>
      </c>
      <c r="G29" t="str">
        <f t="shared" si="1"/>
        <v>YES</v>
      </c>
    </row>
    <row r="30" spans="1:7" x14ac:dyDescent="0.35">
      <c r="A30">
        <v>29</v>
      </c>
      <c r="B30" t="s">
        <v>44</v>
      </c>
      <c r="C30" t="s">
        <v>8</v>
      </c>
      <c r="D30">
        <v>280</v>
      </c>
      <c r="E30">
        <v>98</v>
      </c>
      <c r="F30">
        <f t="shared" si="0"/>
        <v>27440</v>
      </c>
      <c r="G30" t="str">
        <f t="shared" si="1"/>
        <v>YES</v>
      </c>
    </row>
    <row r="31" spans="1:7" x14ac:dyDescent="0.35">
      <c r="A31">
        <v>30</v>
      </c>
      <c r="B31" t="s">
        <v>45</v>
      </c>
      <c r="C31" t="s">
        <v>6</v>
      </c>
      <c r="D31">
        <v>345</v>
      </c>
      <c r="E31">
        <v>70</v>
      </c>
      <c r="F31">
        <f t="shared" si="0"/>
        <v>24150</v>
      </c>
      <c r="G31" t="str">
        <f t="shared" si="1"/>
        <v>YES</v>
      </c>
    </row>
    <row r="32" spans="1:7" x14ac:dyDescent="0.35">
      <c r="A32">
        <v>31</v>
      </c>
      <c r="B32" t="s">
        <v>46</v>
      </c>
      <c r="C32" t="s">
        <v>6</v>
      </c>
      <c r="D32">
        <v>362</v>
      </c>
      <c r="E32">
        <v>65</v>
      </c>
      <c r="F32">
        <f t="shared" si="0"/>
        <v>23530</v>
      </c>
      <c r="G32" t="str">
        <f t="shared" si="1"/>
        <v>YES</v>
      </c>
    </row>
    <row r="33" spans="1:7" x14ac:dyDescent="0.35">
      <c r="A33">
        <v>32</v>
      </c>
      <c r="B33" t="s">
        <v>47</v>
      </c>
      <c r="C33" t="s">
        <v>8</v>
      </c>
      <c r="D33">
        <v>268</v>
      </c>
      <c r="E33">
        <v>28</v>
      </c>
      <c r="F33">
        <f t="shared" si="0"/>
        <v>7504</v>
      </c>
      <c r="G33" t="str">
        <f t="shared" si="1"/>
        <v>YES</v>
      </c>
    </row>
    <row r="34" spans="1:7" x14ac:dyDescent="0.35">
      <c r="A34">
        <v>33</v>
      </c>
      <c r="B34" t="s">
        <v>48</v>
      </c>
      <c r="C34" t="s">
        <v>14</v>
      </c>
      <c r="D34">
        <v>101</v>
      </c>
      <c r="E34">
        <v>30</v>
      </c>
      <c r="F34">
        <f t="shared" ref="F34:F65" si="2">D34*E34</f>
        <v>3030</v>
      </c>
      <c r="G34" t="str">
        <f t="shared" ref="G34:G65" si="3">IF(E34&gt;0,"YES","NO")</f>
        <v>YES</v>
      </c>
    </row>
    <row r="35" spans="1:7" x14ac:dyDescent="0.35">
      <c r="A35">
        <v>34</v>
      </c>
      <c r="B35" t="s">
        <v>49</v>
      </c>
      <c r="C35" t="s">
        <v>14</v>
      </c>
      <c r="D35">
        <v>478</v>
      </c>
      <c r="E35">
        <v>76</v>
      </c>
      <c r="F35">
        <f t="shared" si="2"/>
        <v>36328</v>
      </c>
      <c r="G35" t="str">
        <f t="shared" si="3"/>
        <v>YES</v>
      </c>
    </row>
    <row r="36" spans="1:7" x14ac:dyDescent="0.35">
      <c r="A36">
        <v>35</v>
      </c>
      <c r="B36" t="s">
        <v>50</v>
      </c>
      <c r="C36" t="s">
        <v>20</v>
      </c>
      <c r="D36">
        <v>499</v>
      </c>
      <c r="E36">
        <v>76</v>
      </c>
      <c r="F36">
        <f t="shared" si="2"/>
        <v>37924</v>
      </c>
      <c r="G36" t="str">
        <f t="shared" si="3"/>
        <v>YES</v>
      </c>
    </row>
    <row r="37" spans="1:7" x14ac:dyDescent="0.35">
      <c r="A37">
        <v>36</v>
      </c>
      <c r="B37" t="s">
        <v>51</v>
      </c>
      <c r="C37" t="s">
        <v>43</v>
      </c>
      <c r="D37">
        <v>159</v>
      </c>
      <c r="E37">
        <v>63</v>
      </c>
      <c r="F37">
        <f t="shared" si="2"/>
        <v>10017</v>
      </c>
      <c r="G37" t="str">
        <f t="shared" si="3"/>
        <v>YES</v>
      </c>
    </row>
    <row r="38" spans="1:7" x14ac:dyDescent="0.35">
      <c r="A38">
        <v>37</v>
      </c>
      <c r="B38" t="s">
        <v>52</v>
      </c>
      <c r="C38" t="s">
        <v>8</v>
      </c>
      <c r="D38">
        <v>16</v>
      </c>
      <c r="E38">
        <v>59</v>
      </c>
      <c r="F38">
        <f t="shared" si="2"/>
        <v>944</v>
      </c>
      <c r="G38" t="str">
        <f t="shared" si="3"/>
        <v>YES</v>
      </c>
    </row>
    <row r="39" spans="1:7" x14ac:dyDescent="0.35">
      <c r="A39">
        <v>38</v>
      </c>
      <c r="B39" t="s">
        <v>53</v>
      </c>
      <c r="C39" t="s">
        <v>27</v>
      </c>
      <c r="D39">
        <v>37</v>
      </c>
      <c r="E39">
        <v>18</v>
      </c>
      <c r="F39">
        <f t="shared" si="2"/>
        <v>666</v>
      </c>
      <c r="G39" t="str">
        <f t="shared" si="3"/>
        <v>YES</v>
      </c>
    </row>
    <row r="40" spans="1:7" x14ac:dyDescent="0.35">
      <c r="A40">
        <v>39</v>
      </c>
      <c r="B40" t="s">
        <v>54</v>
      </c>
      <c r="C40" t="s">
        <v>6</v>
      </c>
      <c r="D40">
        <v>469</v>
      </c>
      <c r="E40">
        <v>17</v>
      </c>
      <c r="F40">
        <f t="shared" si="2"/>
        <v>7973</v>
      </c>
      <c r="G40" t="str">
        <f t="shared" si="3"/>
        <v>YES</v>
      </c>
    </row>
    <row r="41" spans="1:7" x14ac:dyDescent="0.35">
      <c r="A41">
        <v>40</v>
      </c>
      <c r="B41" t="s">
        <v>55</v>
      </c>
      <c r="C41" t="s">
        <v>14</v>
      </c>
      <c r="D41">
        <v>6</v>
      </c>
      <c r="E41">
        <v>82</v>
      </c>
      <c r="F41">
        <f t="shared" si="2"/>
        <v>492</v>
      </c>
      <c r="G41" t="str">
        <f t="shared" si="3"/>
        <v>YES</v>
      </c>
    </row>
    <row r="42" spans="1:7" x14ac:dyDescent="0.35">
      <c r="A42">
        <v>41</v>
      </c>
      <c r="B42" t="s">
        <v>56</v>
      </c>
      <c r="C42" t="s">
        <v>12</v>
      </c>
      <c r="D42">
        <v>234</v>
      </c>
      <c r="E42">
        <v>63</v>
      </c>
      <c r="F42">
        <f t="shared" si="2"/>
        <v>14742</v>
      </c>
      <c r="G42" t="str">
        <f t="shared" si="3"/>
        <v>YES</v>
      </c>
    </row>
    <row r="43" spans="1:7" x14ac:dyDescent="0.35">
      <c r="A43">
        <v>42</v>
      </c>
      <c r="B43" t="s">
        <v>57</v>
      </c>
      <c r="C43" t="s">
        <v>6</v>
      </c>
      <c r="D43">
        <v>96</v>
      </c>
      <c r="E43">
        <v>56</v>
      </c>
      <c r="F43">
        <f t="shared" si="2"/>
        <v>5376</v>
      </c>
      <c r="G43" t="str">
        <f t="shared" si="3"/>
        <v>YES</v>
      </c>
    </row>
    <row r="44" spans="1:7" x14ac:dyDescent="0.35">
      <c r="A44">
        <v>43</v>
      </c>
      <c r="B44" t="s">
        <v>58</v>
      </c>
      <c r="C44" t="s">
        <v>18</v>
      </c>
      <c r="D44">
        <v>171</v>
      </c>
      <c r="E44">
        <v>30</v>
      </c>
      <c r="F44">
        <f t="shared" si="2"/>
        <v>5130</v>
      </c>
      <c r="G44" t="str">
        <f t="shared" si="3"/>
        <v>YES</v>
      </c>
    </row>
    <row r="45" spans="1:7" x14ac:dyDescent="0.35">
      <c r="A45">
        <v>44</v>
      </c>
      <c r="B45" t="s">
        <v>59</v>
      </c>
      <c r="C45" t="s">
        <v>18</v>
      </c>
      <c r="D45">
        <v>10</v>
      </c>
      <c r="E45">
        <v>84</v>
      </c>
      <c r="F45">
        <f t="shared" si="2"/>
        <v>840</v>
      </c>
      <c r="G45" t="str">
        <f t="shared" si="3"/>
        <v>YES</v>
      </c>
    </row>
    <row r="46" spans="1:7" x14ac:dyDescent="0.35">
      <c r="A46">
        <v>45</v>
      </c>
      <c r="B46" t="s">
        <v>60</v>
      </c>
      <c r="C46" t="s">
        <v>6</v>
      </c>
      <c r="D46">
        <v>252</v>
      </c>
      <c r="E46">
        <v>64</v>
      </c>
      <c r="F46">
        <f t="shared" si="2"/>
        <v>16128</v>
      </c>
      <c r="G46" t="str">
        <f t="shared" si="3"/>
        <v>YES</v>
      </c>
    </row>
    <row r="47" spans="1:7" x14ac:dyDescent="0.35">
      <c r="A47">
        <v>46</v>
      </c>
      <c r="B47" t="s">
        <v>61</v>
      </c>
      <c r="C47" t="s">
        <v>31</v>
      </c>
      <c r="D47">
        <v>47</v>
      </c>
      <c r="E47">
        <v>66</v>
      </c>
      <c r="F47">
        <f t="shared" si="2"/>
        <v>3102</v>
      </c>
      <c r="G47" t="str">
        <f t="shared" si="3"/>
        <v>YES</v>
      </c>
    </row>
    <row r="48" spans="1:7" x14ac:dyDescent="0.35">
      <c r="A48">
        <v>47</v>
      </c>
      <c r="B48" t="s">
        <v>62</v>
      </c>
      <c r="C48" t="s">
        <v>6</v>
      </c>
      <c r="D48">
        <v>401</v>
      </c>
      <c r="E48">
        <v>64</v>
      </c>
      <c r="F48">
        <f t="shared" si="2"/>
        <v>25664</v>
      </c>
      <c r="G48" t="str">
        <f t="shared" si="3"/>
        <v>YES</v>
      </c>
    </row>
    <row r="49" spans="1:7" x14ac:dyDescent="0.35">
      <c r="A49">
        <v>48</v>
      </c>
      <c r="B49" t="s">
        <v>63</v>
      </c>
      <c r="C49" t="s">
        <v>18</v>
      </c>
      <c r="D49">
        <v>81</v>
      </c>
      <c r="E49">
        <v>80</v>
      </c>
      <c r="F49">
        <f t="shared" si="2"/>
        <v>6480</v>
      </c>
      <c r="G49" t="str">
        <f t="shared" si="3"/>
        <v>YES</v>
      </c>
    </row>
    <row r="50" spans="1:7" x14ac:dyDescent="0.35">
      <c r="A50">
        <v>49</v>
      </c>
      <c r="B50" t="s">
        <v>64</v>
      </c>
      <c r="C50" t="s">
        <v>8</v>
      </c>
      <c r="D50">
        <v>28</v>
      </c>
      <c r="E50">
        <v>34</v>
      </c>
      <c r="F50">
        <f t="shared" si="2"/>
        <v>952</v>
      </c>
      <c r="G50" t="str">
        <f t="shared" si="3"/>
        <v>YES</v>
      </c>
    </row>
    <row r="51" spans="1:7" x14ac:dyDescent="0.35">
      <c r="A51">
        <v>50</v>
      </c>
      <c r="B51" t="s">
        <v>65</v>
      </c>
      <c r="C51" t="s">
        <v>22</v>
      </c>
      <c r="D51">
        <v>250</v>
      </c>
      <c r="E51">
        <v>13</v>
      </c>
      <c r="F51">
        <f t="shared" si="2"/>
        <v>3250</v>
      </c>
      <c r="G51" t="str">
        <f t="shared" si="3"/>
        <v>YES</v>
      </c>
    </row>
    <row r="52" spans="1:7" x14ac:dyDescent="0.35">
      <c r="A52">
        <v>51</v>
      </c>
      <c r="B52" t="s">
        <v>66</v>
      </c>
      <c r="C52" t="s">
        <v>20</v>
      </c>
      <c r="D52">
        <v>83</v>
      </c>
      <c r="E52">
        <v>58</v>
      </c>
      <c r="F52">
        <f t="shared" si="2"/>
        <v>4814</v>
      </c>
      <c r="G52" t="str">
        <f t="shared" si="3"/>
        <v>YES</v>
      </c>
    </row>
    <row r="53" spans="1:7" x14ac:dyDescent="0.35">
      <c r="A53">
        <v>52</v>
      </c>
      <c r="B53" t="s">
        <v>67</v>
      </c>
      <c r="C53" t="s">
        <v>31</v>
      </c>
      <c r="D53">
        <v>358</v>
      </c>
      <c r="E53">
        <v>84</v>
      </c>
      <c r="F53">
        <f t="shared" si="2"/>
        <v>30072</v>
      </c>
      <c r="G53" t="str">
        <f t="shared" si="3"/>
        <v>YES</v>
      </c>
    </row>
    <row r="54" spans="1:7" x14ac:dyDescent="0.35">
      <c r="A54">
        <v>53</v>
      </c>
      <c r="B54" t="s">
        <v>68</v>
      </c>
      <c r="C54" t="s">
        <v>20</v>
      </c>
      <c r="D54">
        <v>413</v>
      </c>
      <c r="E54">
        <v>61</v>
      </c>
      <c r="F54">
        <f t="shared" si="2"/>
        <v>25193</v>
      </c>
      <c r="G54" t="str">
        <f t="shared" si="3"/>
        <v>YES</v>
      </c>
    </row>
    <row r="55" spans="1:7" x14ac:dyDescent="0.35">
      <c r="A55">
        <v>54</v>
      </c>
      <c r="B55" t="s">
        <v>69</v>
      </c>
      <c r="C55" t="s">
        <v>16</v>
      </c>
      <c r="D55">
        <v>90</v>
      </c>
      <c r="E55">
        <v>30</v>
      </c>
      <c r="F55">
        <f t="shared" si="2"/>
        <v>2700</v>
      </c>
      <c r="G55" t="str">
        <f t="shared" si="3"/>
        <v>YES</v>
      </c>
    </row>
    <row r="56" spans="1:7" x14ac:dyDescent="0.35">
      <c r="A56">
        <v>55</v>
      </c>
      <c r="B56" t="s">
        <v>70</v>
      </c>
      <c r="C56" t="s">
        <v>8</v>
      </c>
      <c r="D56">
        <v>21</v>
      </c>
      <c r="E56">
        <v>82</v>
      </c>
      <c r="F56">
        <f t="shared" si="2"/>
        <v>1722</v>
      </c>
      <c r="G56" t="str">
        <f t="shared" si="3"/>
        <v>YES</v>
      </c>
    </row>
    <row r="57" spans="1:7" x14ac:dyDescent="0.35">
      <c r="A57">
        <v>56</v>
      </c>
      <c r="B57" t="s">
        <v>71</v>
      </c>
      <c r="C57" t="s">
        <v>10</v>
      </c>
      <c r="D57">
        <v>470</v>
      </c>
      <c r="E57">
        <v>19</v>
      </c>
      <c r="F57">
        <f t="shared" si="2"/>
        <v>8930</v>
      </c>
      <c r="G57" t="str">
        <f t="shared" si="3"/>
        <v>YES</v>
      </c>
    </row>
    <row r="58" spans="1:7" x14ac:dyDescent="0.35">
      <c r="A58">
        <v>57</v>
      </c>
      <c r="B58" t="s">
        <v>72</v>
      </c>
      <c r="C58" t="s">
        <v>31</v>
      </c>
      <c r="D58">
        <v>23</v>
      </c>
      <c r="E58">
        <v>18</v>
      </c>
      <c r="F58">
        <f t="shared" si="2"/>
        <v>414</v>
      </c>
      <c r="G58" t="str">
        <f t="shared" si="3"/>
        <v>YES</v>
      </c>
    </row>
    <row r="59" spans="1:7" x14ac:dyDescent="0.35">
      <c r="A59">
        <v>58</v>
      </c>
      <c r="B59" t="s">
        <v>73</v>
      </c>
      <c r="C59" t="s">
        <v>31</v>
      </c>
      <c r="D59">
        <v>130</v>
      </c>
      <c r="E59">
        <v>16</v>
      </c>
      <c r="F59">
        <f t="shared" si="2"/>
        <v>2080</v>
      </c>
      <c r="G59" t="str">
        <f t="shared" si="3"/>
        <v>YES</v>
      </c>
    </row>
    <row r="60" spans="1:7" x14ac:dyDescent="0.35">
      <c r="A60">
        <v>59</v>
      </c>
      <c r="B60" t="s">
        <v>74</v>
      </c>
      <c r="C60" t="s">
        <v>14</v>
      </c>
      <c r="D60">
        <v>50</v>
      </c>
      <c r="E60">
        <v>37</v>
      </c>
      <c r="F60">
        <f t="shared" si="2"/>
        <v>1850</v>
      </c>
      <c r="G60" t="str">
        <f t="shared" si="3"/>
        <v>YES</v>
      </c>
    </row>
    <row r="61" spans="1:7" x14ac:dyDescent="0.35">
      <c r="A61">
        <v>60</v>
      </c>
      <c r="B61" t="s">
        <v>75</v>
      </c>
      <c r="C61" t="s">
        <v>10</v>
      </c>
      <c r="D61">
        <v>337</v>
      </c>
      <c r="E61">
        <v>40</v>
      </c>
      <c r="F61">
        <f t="shared" si="2"/>
        <v>13480</v>
      </c>
      <c r="G61" t="str">
        <f t="shared" si="3"/>
        <v>YES</v>
      </c>
    </row>
    <row r="62" spans="1:7" x14ac:dyDescent="0.35">
      <c r="A62">
        <v>61</v>
      </c>
      <c r="B62" t="s">
        <v>76</v>
      </c>
      <c r="C62" t="s">
        <v>16</v>
      </c>
      <c r="D62">
        <v>346</v>
      </c>
      <c r="E62">
        <v>80</v>
      </c>
      <c r="F62">
        <f t="shared" si="2"/>
        <v>27680</v>
      </c>
      <c r="G62" t="str">
        <f t="shared" si="3"/>
        <v>YES</v>
      </c>
    </row>
    <row r="63" spans="1:7" x14ac:dyDescent="0.35">
      <c r="A63">
        <v>62</v>
      </c>
      <c r="B63" t="s">
        <v>77</v>
      </c>
      <c r="C63" t="s">
        <v>12</v>
      </c>
      <c r="D63">
        <v>226</v>
      </c>
      <c r="E63">
        <v>84</v>
      </c>
      <c r="F63">
        <f t="shared" si="2"/>
        <v>18984</v>
      </c>
      <c r="G63" t="str">
        <f t="shared" si="3"/>
        <v>YES</v>
      </c>
    </row>
    <row r="64" spans="1:7" x14ac:dyDescent="0.35">
      <c r="A64">
        <v>63</v>
      </c>
      <c r="B64" t="s">
        <v>78</v>
      </c>
      <c r="C64" t="s">
        <v>22</v>
      </c>
      <c r="D64">
        <v>227</v>
      </c>
      <c r="E64">
        <v>32</v>
      </c>
      <c r="F64">
        <f t="shared" si="2"/>
        <v>7264</v>
      </c>
      <c r="G64" t="str">
        <f t="shared" si="3"/>
        <v>YES</v>
      </c>
    </row>
    <row r="65" spans="1:7" x14ac:dyDescent="0.35">
      <c r="A65">
        <v>64</v>
      </c>
      <c r="B65" t="s">
        <v>79</v>
      </c>
      <c r="C65" t="s">
        <v>31</v>
      </c>
      <c r="D65">
        <v>225</v>
      </c>
      <c r="E65">
        <v>18</v>
      </c>
      <c r="F65">
        <f t="shared" si="2"/>
        <v>4050</v>
      </c>
      <c r="G65" t="str">
        <f t="shared" si="3"/>
        <v>YES</v>
      </c>
    </row>
    <row r="66" spans="1:7" x14ac:dyDescent="0.35">
      <c r="A66">
        <v>65</v>
      </c>
      <c r="B66" t="s">
        <v>80</v>
      </c>
      <c r="C66" t="s">
        <v>43</v>
      </c>
      <c r="D66">
        <v>135</v>
      </c>
      <c r="E66">
        <v>76</v>
      </c>
      <c r="F66">
        <f t="shared" ref="F66:F97" si="4">D66*E66</f>
        <v>10260</v>
      </c>
      <c r="G66" t="str">
        <f t="shared" ref="G66:G97" si="5">IF(E66&gt;0,"YES","NO")</f>
        <v>YES</v>
      </c>
    </row>
    <row r="67" spans="1:7" x14ac:dyDescent="0.35">
      <c r="A67">
        <v>66</v>
      </c>
      <c r="B67" t="s">
        <v>81</v>
      </c>
      <c r="C67" t="s">
        <v>6</v>
      </c>
      <c r="D67">
        <v>5</v>
      </c>
      <c r="E67">
        <v>13</v>
      </c>
      <c r="F67">
        <f t="shared" si="4"/>
        <v>65</v>
      </c>
      <c r="G67" t="str">
        <f t="shared" si="5"/>
        <v>YES</v>
      </c>
    </row>
    <row r="68" spans="1:7" x14ac:dyDescent="0.35">
      <c r="A68">
        <v>67</v>
      </c>
      <c r="B68" t="s">
        <v>82</v>
      </c>
      <c r="C68" t="s">
        <v>6</v>
      </c>
      <c r="D68">
        <v>411</v>
      </c>
      <c r="E68">
        <v>15</v>
      </c>
      <c r="F68">
        <f t="shared" si="4"/>
        <v>6165</v>
      </c>
      <c r="G68" t="str">
        <f t="shared" si="5"/>
        <v>YES</v>
      </c>
    </row>
    <row r="69" spans="1:7" x14ac:dyDescent="0.35">
      <c r="A69">
        <v>68</v>
      </c>
      <c r="B69" t="s">
        <v>83</v>
      </c>
      <c r="C69" t="s">
        <v>6</v>
      </c>
      <c r="D69">
        <v>356</v>
      </c>
      <c r="E69">
        <v>84</v>
      </c>
      <c r="F69">
        <f t="shared" si="4"/>
        <v>29904</v>
      </c>
      <c r="G69" t="str">
        <f t="shared" si="5"/>
        <v>YES</v>
      </c>
    </row>
    <row r="70" spans="1:7" x14ac:dyDescent="0.35">
      <c r="A70">
        <v>69</v>
      </c>
      <c r="B70" t="s">
        <v>84</v>
      </c>
      <c r="C70" t="s">
        <v>14</v>
      </c>
      <c r="D70">
        <v>238</v>
      </c>
      <c r="E70">
        <v>82</v>
      </c>
      <c r="F70">
        <f t="shared" si="4"/>
        <v>19516</v>
      </c>
      <c r="G70" t="str">
        <f t="shared" si="5"/>
        <v>YES</v>
      </c>
    </row>
    <row r="71" spans="1:7" x14ac:dyDescent="0.35">
      <c r="A71">
        <v>70</v>
      </c>
      <c r="B71" t="s">
        <v>63</v>
      </c>
      <c r="C71" t="s">
        <v>8</v>
      </c>
      <c r="D71">
        <v>41</v>
      </c>
      <c r="E71">
        <v>19</v>
      </c>
      <c r="F71">
        <f t="shared" si="4"/>
        <v>779</v>
      </c>
      <c r="G71" t="str">
        <f t="shared" si="5"/>
        <v>YES</v>
      </c>
    </row>
    <row r="72" spans="1:7" x14ac:dyDescent="0.35">
      <c r="A72">
        <v>71</v>
      </c>
      <c r="B72" t="s">
        <v>85</v>
      </c>
      <c r="C72" t="s">
        <v>18</v>
      </c>
      <c r="D72">
        <v>373</v>
      </c>
      <c r="E72">
        <v>76</v>
      </c>
      <c r="F72">
        <f t="shared" si="4"/>
        <v>28348</v>
      </c>
      <c r="G72" t="str">
        <f t="shared" si="5"/>
        <v>YES</v>
      </c>
    </row>
    <row r="73" spans="1:7" x14ac:dyDescent="0.35">
      <c r="A73">
        <v>72</v>
      </c>
      <c r="B73" t="s">
        <v>86</v>
      </c>
      <c r="C73" t="s">
        <v>22</v>
      </c>
      <c r="D73">
        <v>342</v>
      </c>
      <c r="E73">
        <v>76</v>
      </c>
      <c r="F73">
        <f t="shared" si="4"/>
        <v>25992</v>
      </c>
      <c r="G73" t="str">
        <f t="shared" si="5"/>
        <v>YES</v>
      </c>
    </row>
    <row r="74" spans="1:7" x14ac:dyDescent="0.35">
      <c r="A74">
        <v>73</v>
      </c>
      <c r="B74" t="s">
        <v>87</v>
      </c>
      <c r="C74" t="s">
        <v>12</v>
      </c>
      <c r="D74">
        <v>120</v>
      </c>
      <c r="E74">
        <v>54</v>
      </c>
      <c r="F74">
        <f t="shared" si="4"/>
        <v>6480</v>
      </c>
      <c r="G74" t="str">
        <f t="shared" si="5"/>
        <v>YES</v>
      </c>
    </row>
    <row r="75" spans="1:7" x14ac:dyDescent="0.35">
      <c r="A75">
        <v>74</v>
      </c>
      <c r="B75" t="s">
        <v>88</v>
      </c>
      <c r="C75" t="s">
        <v>6</v>
      </c>
      <c r="D75">
        <v>408</v>
      </c>
      <c r="E75">
        <v>100</v>
      </c>
      <c r="F75">
        <f t="shared" si="4"/>
        <v>40800</v>
      </c>
      <c r="G75" t="str">
        <f t="shared" si="5"/>
        <v>YES</v>
      </c>
    </row>
    <row r="76" spans="1:7" x14ac:dyDescent="0.35">
      <c r="A76">
        <v>75</v>
      </c>
      <c r="B76" t="s">
        <v>89</v>
      </c>
      <c r="C76" t="s">
        <v>43</v>
      </c>
      <c r="D76">
        <v>72</v>
      </c>
      <c r="E76">
        <v>50</v>
      </c>
      <c r="F76">
        <f t="shared" si="4"/>
        <v>3600</v>
      </c>
      <c r="G76" t="str">
        <f t="shared" si="5"/>
        <v>YES</v>
      </c>
    </row>
    <row r="77" spans="1:7" x14ac:dyDescent="0.35">
      <c r="A77">
        <v>76</v>
      </c>
      <c r="B77" t="s">
        <v>90</v>
      </c>
      <c r="C77" t="s">
        <v>27</v>
      </c>
      <c r="D77">
        <v>35</v>
      </c>
      <c r="E77">
        <v>10</v>
      </c>
      <c r="F77">
        <f t="shared" si="4"/>
        <v>350</v>
      </c>
      <c r="G77" t="str">
        <f t="shared" si="5"/>
        <v>YES</v>
      </c>
    </row>
    <row r="78" spans="1:7" x14ac:dyDescent="0.35">
      <c r="A78">
        <v>77</v>
      </c>
      <c r="B78" t="s">
        <v>91</v>
      </c>
      <c r="C78" t="s">
        <v>12</v>
      </c>
      <c r="D78">
        <v>40</v>
      </c>
      <c r="E78">
        <v>55</v>
      </c>
      <c r="F78">
        <f t="shared" si="4"/>
        <v>2200</v>
      </c>
      <c r="G78" t="str">
        <f t="shared" si="5"/>
        <v>YES</v>
      </c>
    </row>
    <row r="79" spans="1:7" x14ac:dyDescent="0.35">
      <c r="A79">
        <v>78</v>
      </c>
      <c r="B79" t="s">
        <v>92</v>
      </c>
      <c r="C79" t="s">
        <v>18</v>
      </c>
      <c r="D79">
        <v>108</v>
      </c>
      <c r="E79">
        <v>87</v>
      </c>
      <c r="F79">
        <f t="shared" si="4"/>
        <v>9396</v>
      </c>
      <c r="G79" t="str">
        <f t="shared" si="5"/>
        <v>YES</v>
      </c>
    </row>
    <row r="80" spans="1:7" x14ac:dyDescent="0.35">
      <c r="A80">
        <v>79</v>
      </c>
      <c r="B80" t="s">
        <v>93</v>
      </c>
      <c r="C80" t="s">
        <v>8</v>
      </c>
      <c r="D80">
        <v>81</v>
      </c>
      <c r="E80">
        <v>42</v>
      </c>
      <c r="F80">
        <f t="shared" si="4"/>
        <v>3402</v>
      </c>
      <c r="G80" t="str">
        <f t="shared" si="5"/>
        <v>YES</v>
      </c>
    </row>
    <row r="81" spans="1:7" x14ac:dyDescent="0.35">
      <c r="A81">
        <v>80</v>
      </c>
      <c r="B81" t="s">
        <v>94</v>
      </c>
      <c r="C81" t="s">
        <v>6</v>
      </c>
      <c r="D81">
        <v>390</v>
      </c>
      <c r="E81">
        <v>3</v>
      </c>
      <c r="F81">
        <f t="shared" si="4"/>
        <v>1170</v>
      </c>
      <c r="G81" t="str">
        <f t="shared" si="5"/>
        <v>YES</v>
      </c>
    </row>
    <row r="82" spans="1:7" x14ac:dyDescent="0.35">
      <c r="A82">
        <v>81</v>
      </c>
      <c r="B82" t="s">
        <v>95</v>
      </c>
      <c r="C82" t="s">
        <v>8</v>
      </c>
      <c r="D82">
        <v>276</v>
      </c>
      <c r="E82">
        <v>70</v>
      </c>
      <c r="F82">
        <f t="shared" si="4"/>
        <v>19320</v>
      </c>
      <c r="G82" t="str">
        <f t="shared" si="5"/>
        <v>YES</v>
      </c>
    </row>
    <row r="83" spans="1:7" x14ac:dyDescent="0.35">
      <c r="A83">
        <v>82</v>
      </c>
      <c r="B83" t="s">
        <v>69</v>
      </c>
      <c r="C83" t="s">
        <v>20</v>
      </c>
      <c r="D83">
        <v>72</v>
      </c>
      <c r="E83">
        <v>68</v>
      </c>
      <c r="F83">
        <f t="shared" si="4"/>
        <v>4896</v>
      </c>
      <c r="G83" t="str">
        <f t="shared" si="5"/>
        <v>YES</v>
      </c>
    </row>
    <row r="84" spans="1:7" x14ac:dyDescent="0.35">
      <c r="A84">
        <v>83</v>
      </c>
      <c r="B84" t="s">
        <v>96</v>
      </c>
      <c r="C84" t="s">
        <v>27</v>
      </c>
      <c r="D84">
        <v>17</v>
      </c>
      <c r="E84">
        <v>50</v>
      </c>
      <c r="F84">
        <f t="shared" si="4"/>
        <v>850</v>
      </c>
      <c r="G84" t="str">
        <f t="shared" si="5"/>
        <v>YES</v>
      </c>
    </row>
    <row r="85" spans="1:7" x14ac:dyDescent="0.35">
      <c r="A85">
        <v>84</v>
      </c>
      <c r="B85" t="s">
        <v>97</v>
      </c>
      <c r="C85" t="s">
        <v>18</v>
      </c>
      <c r="D85">
        <v>458</v>
      </c>
      <c r="E85">
        <v>90</v>
      </c>
      <c r="F85">
        <f t="shared" si="4"/>
        <v>41220</v>
      </c>
      <c r="G85" t="str">
        <f t="shared" si="5"/>
        <v>YES</v>
      </c>
    </row>
    <row r="86" spans="1:7" x14ac:dyDescent="0.35">
      <c r="A86">
        <v>85</v>
      </c>
      <c r="B86" t="s">
        <v>98</v>
      </c>
      <c r="C86" t="s">
        <v>18</v>
      </c>
      <c r="D86">
        <v>127</v>
      </c>
      <c r="E86">
        <v>50</v>
      </c>
      <c r="F86">
        <f t="shared" si="4"/>
        <v>6350</v>
      </c>
      <c r="G86" t="str">
        <f t="shared" si="5"/>
        <v>YES</v>
      </c>
    </row>
    <row r="87" spans="1:7" x14ac:dyDescent="0.35">
      <c r="A87">
        <v>86</v>
      </c>
      <c r="B87" t="s">
        <v>99</v>
      </c>
      <c r="C87" t="s">
        <v>43</v>
      </c>
      <c r="D87">
        <v>230</v>
      </c>
      <c r="E87">
        <v>52</v>
      </c>
      <c r="F87">
        <f t="shared" si="4"/>
        <v>11960</v>
      </c>
      <c r="G87" t="str">
        <f t="shared" si="5"/>
        <v>YES</v>
      </c>
    </row>
    <row r="88" spans="1:7" x14ac:dyDescent="0.35">
      <c r="A88">
        <v>87</v>
      </c>
      <c r="B88" t="s">
        <v>100</v>
      </c>
      <c r="C88" t="s">
        <v>18</v>
      </c>
      <c r="D88">
        <v>316</v>
      </c>
      <c r="E88">
        <v>27</v>
      </c>
      <c r="F88">
        <f t="shared" si="4"/>
        <v>8532</v>
      </c>
      <c r="G88" t="str">
        <f t="shared" si="5"/>
        <v>YES</v>
      </c>
    </row>
    <row r="89" spans="1:7" x14ac:dyDescent="0.35">
      <c r="A89">
        <v>88</v>
      </c>
      <c r="B89" t="s">
        <v>101</v>
      </c>
      <c r="C89" t="s">
        <v>6</v>
      </c>
      <c r="D89">
        <v>376</v>
      </c>
      <c r="E89">
        <v>99</v>
      </c>
      <c r="F89">
        <f t="shared" si="4"/>
        <v>37224</v>
      </c>
      <c r="G89" t="str">
        <f t="shared" si="5"/>
        <v>YES</v>
      </c>
    </row>
    <row r="90" spans="1:7" x14ac:dyDescent="0.35">
      <c r="A90">
        <v>89</v>
      </c>
      <c r="B90" t="s">
        <v>102</v>
      </c>
      <c r="C90" t="s">
        <v>16</v>
      </c>
      <c r="D90">
        <v>142</v>
      </c>
      <c r="E90">
        <v>94</v>
      </c>
      <c r="F90">
        <f t="shared" si="4"/>
        <v>13348</v>
      </c>
      <c r="G90" t="str">
        <f t="shared" si="5"/>
        <v>YES</v>
      </c>
    </row>
    <row r="91" spans="1:7" x14ac:dyDescent="0.35">
      <c r="A91">
        <v>90</v>
      </c>
      <c r="B91" t="s">
        <v>103</v>
      </c>
      <c r="C91" t="s">
        <v>20</v>
      </c>
      <c r="D91">
        <v>491</v>
      </c>
      <c r="E91">
        <v>31</v>
      </c>
      <c r="F91">
        <f t="shared" si="4"/>
        <v>15221</v>
      </c>
      <c r="G91" t="str">
        <f t="shared" si="5"/>
        <v>YES</v>
      </c>
    </row>
    <row r="92" spans="1:7" x14ac:dyDescent="0.35">
      <c r="A92">
        <v>91</v>
      </c>
      <c r="B92" t="s">
        <v>104</v>
      </c>
      <c r="C92" t="s">
        <v>27</v>
      </c>
      <c r="D92">
        <v>158</v>
      </c>
      <c r="E92">
        <v>27</v>
      </c>
      <c r="F92">
        <f t="shared" si="4"/>
        <v>4266</v>
      </c>
      <c r="G92" t="str">
        <f t="shared" si="5"/>
        <v>YES</v>
      </c>
    </row>
    <row r="93" spans="1:7" x14ac:dyDescent="0.35">
      <c r="A93">
        <v>92</v>
      </c>
      <c r="B93" t="s">
        <v>105</v>
      </c>
      <c r="C93" t="s">
        <v>27</v>
      </c>
      <c r="D93">
        <v>362</v>
      </c>
      <c r="E93">
        <v>11</v>
      </c>
      <c r="F93">
        <f t="shared" si="4"/>
        <v>3982</v>
      </c>
      <c r="G93" t="str">
        <f t="shared" si="5"/>
        <v>YES</v>
      </c>
    </row>
    <row r="94" spans="1:7" x14ac:dyDescent="0.35">
      <c r="A94">
        <v>93</v>
      </c>
      <c r="B94" t="s">
        <v>106</v>
      </c>
      <c r="C94" t="s">
        <v>14</v>
      </c>
      <c r="D94">
        <v>455</v>
      </c>
      <c r="E94">
        <v>97</v>
      </c>
      <c r="F94">
        <f t="shared" si="4"/>
        <v>44135</v>
      </c>
      <c r="G94" t="str">
        <f t="shared" si="5"/>
        <v>YES</v>
      </c>
    </row>
    <row r="95" spans="1:7" x14ac:dyDescent="0.35">
      <c r="A95">
        <v>94</v>
      </c>
      <c r="B95" t="s">
        <v>107</v>
      </c>
      <c r="C95" t="s">
        <v>6</v>
      </c>
      <c r="D95">
        <v>361</v>
      </c>
      <c r="E95">
        <v>29</v>
      </c>
      <c r="F95">
        <f t="shared" si="4"/>
        <v>10469</v>
      </c>
      <c r="G95" t="str">
        <f t="shared" si="5"/>
        <v>YES</v>
      </c>
    </row>
    <row r="96" spans="1:7" x14ac:dyDescent="0.35">
      <c r="A96">
        <v>95</v>
      </c>
      <c r="B96" t="s">
        <v>108</v>
      </c>
      <c r="C96" t="s">
        <v>18</v>
      </c>
      <c r="D96">
        <v>192</v>
      </c>
      <c r="E96">
        <v>82</v>
      </c>
      <c r="F96">
        <f t="shared" si="4"/>
        <v>15744</v>
      </c>
      <c r="G96" t="str">
        <f t="shared" si="5"/>
        <v>YES</v>
      </c>
    </row>
    <row r="97" spans="1:7" x14ac:dyDescent="0.35">
      <c r="A97">
        <v>96</v>
      </c>
      <c r="B97" t="s">
        <v>109</v>
      </c>
      <c r="C97" t="s">
        <v>27</v>
      </c>
      <c r="D97">
        <v>323</v>
      </c>
      <c r="E97">
        <v>28</v>
      </c>
      <c r="F97">
        <f t="shared" si="4"/>
        <v>9044</v>
      </c>
      <c r="G97" t="str">
        <f t="shared" si="5"/>
        <v>YES</v>
      </c>
    </row>
    <row r="98" spans="1:7" x14ac:dyDescent="0.35">
      <c r="A98">
        <v>97</v>
      </c>
      <c r="B98" t="s">
        <v>110</v>
      </c>
      <c r="C98" t="s">
        <v>6</v>
      </c>
      <c r="D98">
        <v>440</v>
      </c>
      <c r="E98">
        <v>23</v>
      </c>
      <c r="F98">
        <f t="shared" ref="F98:F121" si="6">D98*E98</f>
        <v>10120</v>
      </c>
      <c r="G98" t="str">
        <f t="shared" ref="G98:G121" si="7">IF(E98&gt;0,"YES","NO")</f>
        <v>YES</v>
      </c>
    </row>
    <row r="99" spans="1:7" x14ac:dyDescent="0.35">
      <c r="A99">
        <v>98</v>
      </c>
      <c r="B99" t="s">
        <v>111</v>
      </c>
      <c r="C99" t="s">
        <v>20</v>
      </c>
      <c r="D99">
        <v>384</v>
      </c>
      <c r="E99">
        <v>96</v>
      </c>
      <c r="F99">
        <f t="shared" si="6"/>
        <v>36864</v>
      </c>
      <c r="G99" t="str">
        <f t="shared" si="7"/>
        <v>YES</v>
      </c>
    </row>
    <row r="100" spans="1:7" x14ac:dyDescent="0.35">
      <c r="A100">
        <v>99</v>
      </c>
      <c r="B100" t="s">
        <v>112</v>
      </c>
      <c r="C100" t="s">
        <v>16</v>
      </c>
      <c r="D100">
        <v>60</v>
      </c>
      <c r="E100">
        <v>80</v>
      </c>
      <c r="F100">
        <f t="shared" si="6"/>
        <v>4800</v>
      </c>
      <c r="G100" t="str">
        <f t="shared" si="7"/>
        <v>YES</v>
      </c>
    </row>
    <row r="101" spans="1:7" x14ac:dyDescent="0.35">
      <c r="A101">
        <v>100</v>
      </c>
      <c r="B101" t="s">
        <v>113</v>
      </c>
      <c r="C101" t="s">
        <v>6</v>
      </c>
      <c r="D101">
        <v>8</v>
      </c>
      <c r="E101">
        <v>0</v>
      </c>
      <c r="F101">
        <f t="shared" si="6"/>
        <v>0</v>
      </c>
      <c r="G101" t="str">
        <f t="shared" si="7"/>
        <v>NO</v>
      </c>
    </row>
    <row r="102" spans="1:7" x14ac:dyDescent="0.35">
      <c r="A102">
        <v>101</v>
      </c>
      <c r="B102" t="s">
        <v>114</v>
      </c>
      <c r="C102" t="s">
        <v>8</v>
      </c>
      <c r="D102">
        <v>465</v>
      </c>
      <c r="E102">
        <v>64</v>
      </c>
      <c r="F102">
        <f t="shared" si="6"/>
        <v>29760</v>
      </c>
      <c r="G102" t="str">
        <f t="shared" si="7"/>
        <v>YES</v>
      </c>
    </row>
    <row r="103" spans="1:7" x14ac:dyDescent="0.35">
      <c r="A103">
        <v>102</v>
      </c>
      <c r="B103" t="s">
        <v>115</v>
      </c>
      <c r="C103" t="s">
        <v>14</v>
      </c>
      <c r="D103">
        <v>372</v>
      </c>
      <c r="E103">
        <v>1</v>
      </c>
      <c r="F103">
        <f t="shared" si="6"/>
        <v>372</v>
      </c>
      <c r="G103" t="str">
        <f t="shared" si="7"/>
        <v>YES</v>
      </c>
    </row>
    <row r="104" spans="1:7" x14ac:dyDescent="0.35">
      <c r="A104">
        <v>103</v>
      </c>
      <c r="B104" t="s">
        <v>116</v>
      </c>
      <c r="C104" t="s">
        <v>22</v>
      </c>
      <c r="D104">
        <v>132</v>
      </c>
      <c r="E104">
        <v>21</v>
      </c>
      <c r="F104">
        <f t="shared" si="6"/>
        <v>2772</v>
      </c>
      <c r="G104" t="str">
        <f t="shared" si="7"/>
        <v>YES</v>
      </c>
    </row>
    <row r="105" spans="1:7" x14ac:dyDescent="0.35">
      <c r="A105">
        <v>104</v>
      </c>
      <c r="B105" t="s">
        <v>117</v>
      </c>
      <c r="C105" t="s">
        <v>31</v>
      </c>
      <c r="D105">
        <v>293</v>
      </c>
      <c r="E105">
        <v>62</v>
      </c>
      <c r="F105">
        <f t="shared" si="6"/>
        <v>18166</v>
      </c>
      <c r="G105" t="str">
        <f t="shared" si="7"/>
        <v>YES</v>
      </c>
    </row>
    <row r="106" spans="1:7" x14ac:dyDescent="0.35">
      <c r="A106">
        <v>105</v>
      </c>
      <c r="B106" t="s">
        <v>118</v>
      </c>
      <c r="C106" t="s">
        <v>8</v>
      </c>
      <c r="D106">
        <v>194</v>
      </c>
      <c r="E106">
        <v>84</v>
      </c>
      <c r="F106">
        <f t="shared" si="6"/>
        <v>16296</v>
      </c>
      <c r="G106" t="str">
        <f t="shared" si="7"/>
        <v>YES</v>
      </c>
    </row>
    <row r="107" spans="1:7" x14ac:dyDescent="0.35">
      <c r="A107">
        <v>106</v>
      </c>
      <c r="B107" t="s">
        <v>119</v>
      </c>
      <c r="C107" t="s">
        <v>16</v>
      </c>
      <c r="D107">
        <v>323</v>
      </c>
      <c r="E107">
        <v>73</v>
      </c>
      <c r="F107">
        <f t="shared" si="6"/>
        <v>23579</v>
      </c>
      <c r="G107" t="str">
        <f t="shared" si="7"/>
        <v>YES</v>
      </c>
    </row>
    <row r="108" spans="1:7" x14ac:dyDescent="0.35">
      <c r="A108">
        <v>107</v>
      </c>
      <c r="B108" t="s">
        <v>120</v>
      </c>
      <c r="C108" t="s">
        <v>8</v>
      </c>
      <c r="D108">
        <v>112</v>
      </c>
      <c r="E108">
        <v>8</v>
      </c>
      <c r="F108">
        <f t="shared" si="6"/>
        <v>896</v>
      </c>
      <c r="G108" t="str">
        <f t="shared" si="7"/>
        <v>YES</v>
      </c>
    </row>
    <row r="109" spans="1:7" x14ac:dyDescent="0.35">
      <c r="A109">
        <v>108</v>
      </c>
      <c r="B109" t="s">
        <v>121</v>
      </c>
      <c r="C109" t="s">
        <v>6</v>
      </c>
      <c r="D109">
        <v>176</v>
      </c>
      <c r="E109">
        <v>18</v>
      </c>
      <c r="F109">
        <f t="shared" si="6"/>
        <v>3168</v>
      </c>
      <c r="G109" t="str">
        <f t="shared" si="7"/>
        <v>YES</v>
      </c>
    </row>
    <row r="110" spans="1:7" x14ac:dyDescent="0.35">
      <c r="A110">
        <v>109</v>
      </c>
      <c r="B110" t="s">
        <v>122</v>
      </c>
      <c r="C110" t="s">
        <v>6</v>
      </c>
      <c r="D110">
        <v>23</v>
      </c>
      <c r="E110">
        <v>40</v>
      </c>
      <c r="F110">
        <f t="shared" si="6"/>
        <v>920</v>
      </c>
      <c r="G110" t="str">
        <f t="shared" si="7"/>
        <v>YES</v>
      </c>
    </row>
    <row r="111" spans="1:7" x14ac:dyDescent="0.35">
      <c r="A111">
        <v>110</v>
      </c>
      <c r="B111" t="s">
        <v>26</v>
      </c>
      <c r="C111" t="s">
        <v>31</v>
      </c>
      <c r="D111">
        <v>359</v>
      </c>
      <c r="E111">
        <v>98</v>
      </c>
      <c r="F111">
        <f t="shared" si="6"/>
        <v>35182</v>
      </c>
      <c r="G111" t="str">
        <f t="shared" si="7"/>
        <v>YES</v>
      </c>
    </row>
    <row r="112" spans="1:7" x14ac:dyDescent="0.35">
      <c r="A112">
        <v>111</v>
      </c>
      <c r="B112" t="s">
        <v>123</v>
      </c>
      <c r="C112" t="s">
        <v>16</v>
      </c>
      <c r="D112">
        <v>353</v>
      </c>
      <c r="E112">
        <v>29</v>
      </c>
      <c r="F112">
        <f t="shared" si="6"/>
        <v>10237</v>
      </c>
      <c r="G112" t="str">
        <f t="shared" si="7"/>
        <v>YES</v>
      </c>
    </row>
    <row r="113" spans="1:7" x14ac:dyDescent="0.35">
      <c r="A113">
        <v>112</v>
      </c>
      <c r="B113" t="s">
        <v>124</v>
      </c>
      <c r="C113" t="s">
        <v>16</v>
      </c>
      <c r="D113">
        <v>89</v>
      </c>
      <c r="E113">
        <v>2</v>
      </c>
      <c r="F113">
        <f t="shared" si="6"/>
        <v>178</v>
      </c>
      <c r="G113" t="str">
        <f t="shared" si="7"/>
        <v>YES</v>
      </c>
    </row>
    <row r="114" spans="1:7" x14ac:dyDescent="0.35">
      <c r="A114">
        <v>113</v>
      </c>
      <c r="B114" t="s">
        <v>125</v>
      </c>
      <c r="C114" t="s">
        <v>22</v>
      </c>
      <c r="D114">
        <v>14</v>
      </c>
      <c r="E114">
        <v>21</v>
      </c>
      <c r="F114">
        <f t="shared" si="6"/>
        <v>294</v>
      </c>
      <c r="G114" t="str">
        <f t="shared" si="7"/>
        <v>YES</v>
      </c>
    </row>
    <row r="115" spans="1:7" x14ac:dyDescent="0.35">
      <c r="A115">
        <v>114</v>
      </c>
      <c r="B115" t="s">
        <v>126</v>
      </c>
      <c r="C115" t="s">
        <v>22</v>
      </c>
      <c r="D115">
        <v>323</v>
      </c>
      <c r="E115">
        <v>94</v>
      </c>
      <c r="F115">
        <f t="shared" si="6"/>
        <v>30362</v>
      </c>
      <c r="G115" t="str">
        <f t="shared" si="7"/>
        <v>YES</v>
      </c>
    </row>
    <row r="116" spans="1:7" x14ac:dyDescent="0.35">
      <c r="A116">
        <v>115</v>
      </c>
      <c r="B116" t="s">
        <v>127</v>
      </c>
      <c r="C116" t="s">
        <v>6</v>
      </c>
      <c r="D116">
        <v>406</v>
      </c>
      <c r="E116">
        <v>94</v>
      </c>
      <c r="F116">
        <f t="shared" si="6"/>
        <v>38164</v>
      </c>
      <c r="G116" t="str">
        <f t="shared" si="7"/>
        <v>YES</v>
      </c>
    </row>
    <row r="117" spans="1:7" x14ac:dyDescent="0.35">
      <c r="A117">
        <v>116</v>
      </c>
      <c r="B117" t="s">
        <v>128</v>
      </c>
      <c r="C117" t="s">
        <v>20</v>
      </c>
      <c r="D117">
        <v>293</v>
      </c>
      <c r="E117">
        <v>99</v>
      </c>
      <c r="F117">
        <f t="shared" si="6"/>
        <v>29007</v>
      </c>
      <c r="G117" t="str">
        <f t="shared" si="7"/>
        <v>YES</v>
      </c>
    </row>
    <row r="118" spans="1:7" x14ac:dyDescent="0.35">
      <c r="A118">
        <v>117</v>
      </c>
      <c r="B118" t="s">
        <v>129</v>
      </c>
      <c r="C118" t="s">
        <v>12</v>
      </c>
      <c r="D118">
        <v>346</v>
      </c>
      <c r="E118">
        <v>21</v>
      </c>
      <c r="F118">
        <f t="shared" si="6"/>
        <v>7266</v>
      </c>
      <c r="G118" t="str">
        <f t="shared" si="7"/>
        <v>YES</v>
      </c>
    </row>
    <row r="119" spans="1:7" x14ac:dyDescent="0.35">
      <c r="A119">
        <v>118</v>
      </c>
      <c r="B119" t="s">
        <v>111</v>
      </c>
      <c r="C119" t="s">
        <v>31</v>
      </c>
      <c r="D119">
        <v>477</v>
      </c>
      <c r="E119">
        <v>40</v>
      </c>
      <c r="F119">
        <f t="shared" si="6"/>
        <v>19080</v>
      </c>
      <c r="G119" t="str">
        <f t="shared" si="7"/>
        <v>YES</v>
      </c>
    </row>
    <row r="120" spans="1:7" x14ac:dyDescent="0.35">
      <c r="A120">
        <v>119</v>
      </c>
      <c r="B120" t="s">
        <v>130</v>
      </c>
      <c r="C120" t="s">
        <v>12</v>
      </c>
      <c r="D120">
        <v>209</v>
      </c>
      <c r="E120">
        <v>89</v>
      </c>
      <c r="F120">
        <f t="shared" si="6"/>
        <v>18601</v>
      </c>
      <c r="G120" t="str">
        <f t="shared" si="7"/>
        <v>YES</v>
      </c>
    </row>
    <row r="121" spans="1:7" x14ac:dyDescent="0.35">
      <c r="A121">
        <v>120</v>
      </c>
      <c r="B121" t="s">
        <v>131</v>
      </c>
      <c r="C121" t="s">
        <v>12</v>
      </c>
      <c r="D121">
        <v>109</v>
      </c>
      <c r="E121">
        <v>15</v>
      </c>
      <c r="F121">
        <f t="shared" si="6"/>
        <v>1635</v>
      </c>
      <c r="G121" t="str">
        <f t="shared" si="7"/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0AA7-9F7A-489C-824F-38CEBCA7B300}">
  <dimension ref="A1:C24"/>
  <sheetViews>
    <sheetView tabSelected="1" zoomScale="82" workbookViewId="0">
      <selection activeCell="F12" sqref="F12"/>
    </sheetView>
  </sheetViews>
  <sheetFormatPr defaultRowHeight="14.5" x14ac:dyDescent="0.35"/>
  <cols>
    <col min="1" max="1" width="21.6328125" bestFit="1" customWidth="1"/>
    <col min="2" max="2" width="9.90625" bestFit="1" customWidth="1"/>
    <col min="3" max="3" width="12" customWidth="1"/>
  </cols>
  <sheetData>
    <row r="1" spans="1:3" ht="18.5" x14ac:dyDescent="0.45">
      <c r="A1" s="3" t="s">
        <v>134</v>
      </c>
    </row>
    <row r="3" spans="1:3" x14ac:dyDescent="0.35">
      <c r="A3" t="s">
        <v>135</v>
      </c>
      <c r="B3">
        <f>COUNTA(Sheet1!A:A)-1</f>
        <v>120</v>
      </c>
    </row>
    <row r="5" spans="1:3" x14ac:dyDescent="0.35">
      <c r="A5" t="s">
        <v>136</v>
      </c>
      <c r="B5">
        <f>SUM(Sheet1!F:F)</f>
        <v>1631571</v>
      </c>
    </row>
    <row r="7" spans="1:3" x14ac:dyDescent="0.35">
      <c r="A7" t="s">
        <v>137</v>
      </c>
    </row>
    <row r="9" spans="1:3" x14ac:dyDescent="0.35">
      <c r="A9" s="8" t="s">
        <v>2</v>
      </c>
      <c r="B9" s="8" t="s">
        <v>138</v>
      </c>
      <c r="C9" s="9" t="s">
        <v>132</v>
      </c>
    </row>
    <row r="10" spans="1:3" x14ac:dyDescent="0.35">
      <c r="A10" s="7" t="s">
        <v>6</v>
      </c>
      <c r="B10">
        <f>COUNTIF(Sheet1!C:C,A10)</f>
        <v>21</v>
      </c>
      <c r="C10">
        <f>SUMIF(Sheet1!C:C,A10,Sheet1!F:F)</f>
        <v>287286</v>
      </c>
    </row>
    <row r="11" spans="1:3" x14ac:dyDescent="0.35">
      <c r="A11" s="2" t="s">
        <v>20</v>
      </c>
      <c r="B11">
        <f>COUNTIF(Sheet1!C:C,A11)</f>
        <v>9</v>
      </c>
      <c r="C11">
        <f>SUMIF(Sheet1!C:C,A11,Sheet1!F:F)</f>
        <v>211906</v>
      </c>
    </row>
    <row r="12" spans="1:3" x14ac:dyDescent="0.35">
      <c r="A12" s="1" t="s">
        <v>14</v>
      </c>
      <c r="B12">
        <f>COUNTIF(Sheet1!C:C,A12)</f>
        <v>11</v>
      </c>
      <c r="C12">
        <f>SUMIF(Sheet1!C:C,A12,Sheet1!F:F)</f>
        <v>196370</v>
      </c>
    </row>
    <row r="13" spans="1:3" x14ac:dyDescent="0.35">
      <c r="A13" s="2" t="s">
        <v>8</v>
      </c>
      <c r="B13">
        <f>COUNTIF(Sheet1!C:C,A13)</f>
        <v>13</v>
      </c>
      <c r="C13">
        <f>SUMIF(Sheet1!C:C,A13,Sheet1!F:F)</f>
        <v>163885</v>
      </c>
    </row>
    <row r="14" spans="1:3" x14ac:dyDescent="0.35">
      <c r="A14" s="1" t="s">
        <v>18</v>
      </c>
      <c r="B14">
        <f>COUNTIF(Sheet1!C:C,A14)</f>
        <v>11</v>
      </c>
      <c r="C14">
        <f>SUMIF(Sheet1!C:C,A14,Sheet1!F:F)</f>
        <v>144930</v>
      </c>
    </row>
    <row r="15" spans="1:3" x14ac:dyDescent="0.35">
      <c r="A15" s="1" t="s">
        <v>22</v>
      </c>
      <c r="B15">
        <f>COUNTIF(Sheet1!C:C,A15)</f>
        <v>10</v>
      </c>
      <c r="C15">
        <f>SUMIF(Sheet1!C:C,A15,Sheet1!F:F)</f>
        <v>137995</v>
      </c>
    </row>
    <row r="16" spans="1:3" x14ac:dyDescent="0.35">
      <c r="A16" s="2" t="s">
        <v>31</v>
      </c>
      <c r="B16">
        <f>COUNTIF(Sheet1!C:C,A16)</f>
        <v>10</v>
      </c>
      <c r="C16">
        <f>SUMIF(Sheet1!C:C,A16,Sheet1!F:F)</f>
        <v>132365</v>
      </c>
    </row>
    <row r="17" spans="1:3" x14ac:dyDescent="0.35">
      <c r="A17" s="2" t="s">
        <v>16</v>
      </c>
      <c r="B17">
        <f>COUNTIF(Sheet1!C:C,A17)</f>
        <v>9</v>
      </c>
      <c r="C17">
        <f>SUMIF(Sheet1!C:C,A17,Sheet1!F:F)</f>
        <v>124460</v>
      </c>
    </row>
    <row r="18" spans="1:3" x14ac:dyDescent="0.35">
      <c r="A18" s="2" t="s">
        <v>12</v>
      </c>
      <c r="B18">
        <f>COUNTIF(Sheet1!C:C,A18)</f>
        <v>9</v>
      </c>
      <c r="C18">
        <f>SUMIF(Sheet1!C:C,A18,Sheet1!F:F)</f>
        <v>77342</v>
      </c>
    </row>
    <row r="19" spans="1:3" x14ac:dyDescent="0.35">
      <c r="A19" s="1" t="s">
        <v>10</v>
      </c>
      <c r="B19">
        <f>COUNTIF(Sheet1!C:C,A19)</f>
        <v>5</v>
      </c>
      <c r="C19">
        <f>SUMIF(Sheet1!C:C,A19,Sheet1!F:F)</f>
        <v>68570</v>
      </c>
    </row>
    <row r="20" spans="1:3" x14ac:dyDescent="0.35">
      <c r="A20" s="1" t="s">
        <v>27</v>
      </c>
      <c r="B20">
        <f>COUNTIF(Sheet1!C:C,A20)</f>
        <v>7</v>
      </c>
      <c r="C20">
        <f>SUMIF(Sheet1!C:C,A20,Sheet1!F:F)</f>
        <v>47758</v>
      </c>
    </row>
    <row r="21" spans="1:3" x14ac:dyDescent="0.35">
      <c r="A21" s="2" t="s">
        <v>43</v>
      </c>
      <c r="B21">
        <f>COUNTIF(Sheet1!C:C,A21)</f>
        <v>5</v>
      </c>
      <c r="C21">
        <f>SUMIF(Sheet1!C:C,A21,Sheet1!F:F)</f>
        <v>38704</v>
      </c>
    </row>
    <row r="22" spans="1:3" ht="15" thickBot="1" x14ac:dyDescent="0.4"/>
    <row r="23" spans="1:3" x14ac:dyDescent="0.35">
      <c r="A23" s="4" t="s">
        <v>139</v>
      </c>
      <c r="B23" s="6" t="str">
        <f>INDEX(A10:A21,MATCH(MAX(C10:C21),C10:C21,0))</f>
        <v>Accounting</v>
      </c>
    </row>
    <row r="24" spans="1:3" ht="15" thickBot="1" x14ac:dyDescent="0.4">
      <c r="A24" s="5" t="s">
        <v>140</v>
      </c>
      <c r="B24" s="6">
        <f>MAX(C10:C21)</f>
        <v>287286</v>
      </c>
    </row>
  </sheetData>
  <sortState xmlns:xlrd2="http://schemas.microsoft.com/office/spreadsheetml/2017/richdata2" ref="A10:C21">
    <sortCondition descending="1" ref="C10:C2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U938</dc:creator>
  <cp:lastModifiedBy>Pavla Pintarić</cp:lastModifiedBy>
  <dcterms:created xsi:type="dcterms:W3CDTF">2026-02-04T02:05:09Z</dcterms:created>
  <dcterms:modified xsi:type="dcterms:W3CDTF">2026-02-04T03:55:19Z</dcterms:modified>
</cp:coreProperties>
</file>